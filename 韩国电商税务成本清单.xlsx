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税务成本总览" sheetId="1" state="visible" r:id="rId1"/>
    <sheet name="利润测算表" sheetId="2" state="visible" r:id="rId2"/>
    <sheet name="法人税计算" sheetId="3" state="visible" r:id="rId3"/>
    <sheet name="税务日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t="inlineStr">
        <is>
          <t>韩国电商公司税务成本清单</t>
        </is>
      </c>
      <c r="B1" t="inlineStr"/>
      <c r="C1" t="inlineStr"/>
    </row>
    <row r="2">
      <c r="A2" t="inlineStr">
        <is>
          <t>生成日期</t>
        </is>
      </c>
      <c r="B2" t="inlineStr">
        <is>
          <t>2026-03-04</t>
        </is>
      </c>
      <c r="C2" t="inlineStr"/>
    </row>
    <row r="3">
      <c r="A3" t="inlineStr"/>
      <c r="B3" t="inlineStr"/>
      <c r="C3" t="inlineStr"/>
    </row>
    <row r="4">
      <c r="A4" s="1" t="inlineStr">
        <is>
          <t>税种</t>
        </is>
      </c>
      <c r="B4" s="1" t="inlineStr">
        <is>
          <t>税率</t>
        </is>
      </c>
      <c r="C4" s="1" t="inlineStr">
        <is>
          <t>说明</t>
        </is>
      </c>
    </row>
    <row r="5">
      <c r="A5" t="inlineStr">
        <is>
          <t>增值税(VAT)</t>
        </is>
      </c>
      <c r="B5" t="inlineStr">
        <is>
          <t>10%</t>
        </is>
      </c>
      <c r="C5" t="inlineStr">
        <is>
          <t>季度申报，进口可抵扣</t>
        </is>
      </c>
    </row>
    <row r="6">
      <c r="A6" t="inlineStr">
        <is>
          <t>法人税(2亿以下)</t>
        </is>
      </c>
      <c r="B6" t="inlineStr">
        <is>
          <t>9.9%</t>
        </is>
      </c>
      <c r="C6" t="inlineStr">
        <is>
          <t>企业所得税</t>
        </is>
      </c>
    </row>
    <row r="7">
      <c r="A7" t="inlineStr">
        <is>
          <t>法人税(2-200亿)</t>
        </is>
      </c>
      <c r="B7" t="inlineStr">
        <is>
          <t>19.8%</t>
        </is>
      </c>
      <c r="C7" t="inlineStr">
        <is>
          <t>累进税率</t>
        </is>
      </c>
    </row>
    <row r="8">
      <c r="A8" t="inlineStr">
        <is>
          <t>法人税(200-3000亿)</t>
        </is>
      </c>
      <c r="B8" t="inlineStr">
        <is>
          <t>22%</t>
        </is>
      </c>
      <c r="C8" t="inlineStr">
        <is>
          <t>累进税率</t>
        </is>
      </c>
    </row>
    <row r="9">
      <c r="A9" t="inlineStr">
        <is>
          <t>法人税(3000亿以上)</t>
        </is>
      </c>
      <c r="B9" t="inlineStr">
        <is>
          <t>24.2%</t>
        </is>
      </c>
      <c r="C9" t="inlineStr">
        <is>
          <t>累进税率</t>
        </is>
      </c>
    </row>
    <row r="10">
      <c r="A10" t="inlineStr">
        <is>
          <t>地方所得税</t>
        </is>
      </c>
      <c r="B10" t="inlineStr">
        <is>
          <t>法人税×10%</t>
        </is>
      </c>
      <c r="C10" t="inlineStr">
        <is>
          <t>附加税</t>
        </is>
      </c>
    </row>
    <row r="11">
      <c r="A11" t="inlineStr">
        <is>
          <t>进口关税</t>
        </is>
      </c>
      <c r="B11" t="inlineStr">
        <is>
          <t>0%-30%</t>
        </is>
      </c>
      <c r="C11" t="inlineStr">
        <is>
          <t>按HS编码，FTA可0%</t>
        </is>
      </c>
    </row>
    <row r="12">
      <c r="A12" t="inlineStr">
        <is>
          <t>关税附加税</t>
        </is>
      </c>
      <c r="B12" t="inlineStr">
        <is>
          <t>0.5%-2.5%</t>
        </is>
      </c>
      <c r="C12" t="inlineStr">
        <is>
          <t>教育税等</t>
        </is>
      </c>
    </row>
    <row r="13">
      <c r="A13" t="inlineStr">
        <is>
          <t>健康保险(雇主)</t>
        </is>
      </c>
      <c r="B13" t="inlineStr">
        <is>
          <t>工资×3.5%</t>
        </is>
      </c>
      <c r="C13" t="inlineStr">
        <is>
          <t>如有员工</t>
        </is>
      </c>
    </row>
    <row r="14">
      <c r="A14" t="inlineStr">
        <is>
          <t>国民年金(雇主)</t>
        </is>
      </c>
      <c r="B14" t="inlineStr">
        <is>
          <t>工资×4.5%</t>
        </is>
      </c>
      <c r="C14" t="inlineStr">
        <is>
          <t>如有员工</t>
        </is>
      </c>
    </row>
    <row r="15">
      <c r="A15" t="inlineStr">
        <is>
          <t>雇佣保险</t>
        </is>
      </c>
      <c r="B15" t="inlineStr">
        <is>
          <t>工资×1.15%</t>
        </is>
      </c>
      <c r="C15" t="inlineStr">
        <is>
          <t>雇主承担</t>
        </is>
      </c>
    </row>
    <row r="16">
      <c r="A16" t="inlineStr">
        <is>
          <t>工伤保险</t>
        </is>
      </c>
      <c r="B16" t="inlineStr">
        <is>
          <t>0.7%-34.4%</t>
        </is>
      </c>
      <c r="C16" t="inlineStr">
        <is>
          <t>按行业风险</t>
        </is>
      </c>
    </row>
    <row r="17">
      <c r="A17" t="inlineStr">
        <is>
          <t>Coupang佣金</t>
        </is>
      </c>
      <c r="B17" t="inlineStr">
        <is>
          <t>5%-10%</t>
        </is>
      </c>
      <c r="C17" t="inlineStr">
        <is>
          <t>按品类</t>
        </is>
      </c>
    </row>
    <row r="18">
      <c r="A18" t="inlineStr">
        <is>
          <t>结算手续费</t>
        </is>
      </c>
      <c r="B18" t="inlineStr">
        <is>
          <t>约2%</t>
        </is>
      </c>
      <c r="C18" t="inlineStr">
        <is>
          <t>第三方支付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50" customWidth="1" min="4" max="4"/>
  </cols>
  <sheetData>
    <row r="1">
      <c r="A1" t="inlineStr">
        <is>
          <t>利润测算表</t>
        </is>
      </c>
      <c r="B1" t="inlineStr"/>
      <c r="C1" t="inlineStr"/>
      <c r="D1" t="inlineStr"/>
    </row>
    <row r="2">
      <c r="A2" t="inlineStr">
        <is>
          <t>请输入您的数据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1" t="inlineStr">
        <is>
          <t>项目</t>
        </is>
      </c>
      <c r="B4" s="1" t="inlineStr">
        <is>
          <t>金额(韩元)</t>
        </is>
      </c>
      <c r="C4" s="1" t="inlineStr">
        <is>
          <t>占比</t>
        </is>
      </c>
      <c r="D4" s="1" t="inlineStr">
        <is>
          <t>公式/说明</t>
        </is>
      </c>
    </row>
    <row r="5">
      <c r="A5" t="inlineStr">
        <is>
          <t>月销售额</t>
        </is>
      </c>
      <c r="B5" t="n">
        <v>100000000</v>
      </c>
      <c r="C5" t="inlineStr">
        <is>
          <t>100%</t>
        </is>
      </c>
      <c r="D5" t="inlineStr">
        <is>
          <t>手动输入</t>
        </is>
      </c>
    </row>
    <row r="6">
      <c r="A6" t="inlineStr">
        <is>
          <t>商品成本率</t>
        </is>
      </c>
      <c r="B6" t="inlineStr">
        <is>
          <t>70%</t>
        </is>
      </c>
      <c r="C6" t="inlineStr"/>
      <c r="D6" t="inlineStr">
        <is>
          <t>手动输入百分比</t>
        </is>
      </c>
    </row>
    <row r="7">
      <c r="A7" t="inlineStr">
        <is>
          <t>商品成本</t>
        </is>
      </c>
      <c r="B7" t="n">
        <v>70000000</v>
      </c>
      <c r="C7" t="inlineStr">
        <is>
          <t>70%</t>
        </is>
      </c>
      <c r="D7">
        <f>B5*B6</f>
        <v/>
      </c>
    </row>
    <row r="8">
      <c r="A8" s="2" t="inlineStr">
        <is>
          <t>毛利润</t>
        </is>
      </c>
      <c r="B8" s="2" t="n">
        <v>30000000</v>
      </c>
      <c r="C8" s="2" t="inlineStr">
        <is>
          <t>30%</t>
        </is>
      </c>
      <c r="D8" s="2">
        <f>B5-B7</f>
        <v/>
      </c>
    </row>
    <row r="9">
      <c r="A9" t="inlineStr"/>
      <c r="B9" t="inlineStr"/>
      <c r="C9" t="inlineStr"/>
      <c r="D9" t="inlineStr"/>
    </row>
    <row r="10">
      <c r="A10" t="inlineStr">
        <is>
          <t>增值税(销项)</t>
        </is>
      </c>
      <c r="B10" t="n">
        <v>10000000</v>
      </c>
      <c r="C10" t="inlineStr">
        <is>
          <t>10%</t>
        </is>
      </c>
      <c r="D10">
        <f>B5*10%</f>
        <v/>
      </c>
    </row>
    <row r="11">
      <c r="A11" t="inlineStr">
        <is>
          <t>进口VAT抵扣</t>
        </is>
      </c>
      <c r="B11" t="n">
        <v>-5000000</v>
      </c>
      <c r="C11" t="inlineStr"/>
      <c r="D11" t="inlineStr">
        <is>
          <t>手动输入</t>
        </is>
      </c>
    </row>
    <row r="12">
      <c r="A12" t="inlineStr">
        <is>
          <t>净增值税</t>
        </is>
      </c>
      <c r="B12" t="n">
        <v>5000000</v>
      </c>
      <c r="C12" t="inlineStr"/>
      <c r="D12">
        <f>B10+B11</f>
        <v/>
      </c>
    </row>
    <row r="13">
      <c r="A13" t="inlineStr"/>
      <c r="B13" t="inlineStr"/>
      <c r="C13" t="inlineStr"/>
      <c r="D13" t="inlineStr"/>
    </row>
    <row r="14">
      <c r="A14" t="inlineStr">
        <is>
          <t>Coupang佣金率</t>
        </is>
      </c>
      <c r="B14" t="inlineStr">
        <is>
          <t>8%</t>
        </is>
      </c>
      <c r="C14" t="inlineStr"/>
      <c r="D14" t="inlineStr">
        <is>
          <t>手动输入</t>
        </is>
      </c>
    </row>
    <row r="15">
      <c r="A15" t="inlineStr">
        <is>
          <t>Coupang佣金</t>
        </is>
      </c>
      <c r="B15" t="n">
        <v>8000000</v>
      </c>
      <c r="C15" t="inlineStr">
        <is>
          <t>8%</t>
        </is>
      </c>
      <c r="D15">
        <f>B5*8%</f>
        <v/>
      </c>
    </row>
    <row r="16">
      <c r="A16" t="inlineStr">
        <is>
          <t>物流费用</t>
        </is>
      </c>
      <c r="B16" t="n">
        <v>3000000</v>
      </c>
      <c r="C16" t="inlineStr">
        <is>
          <t>3%</t>
        </is>
      </c>
      <c r="D16" t="inlineStr">
        <is>
          <t>估算</t>
        </is>
      </c>
    </row>
    <row r="17">
      <c r="A17" t="inlineStr">
        <is>
          <t>广告费用</t>
        </is>
      </c>
      <c r="B17" t="n">
        <v>2000000</v>
      </c>
      <c r="C17" t="inlineStr">
        <is>
          <t>2%</t>
        </is>
      </c>
      <c r="D17" t="inlineStr">
        <is>
          <t>估算</t>
        </is>
      </c>
    </row>
    <row r="18">
      <c r="A18" t="inlineStr">
        <is>
          <t>平台费用小计</t>
        </is>
      </c>
      <c r="B18" t="n">
        <v>13000000</v>
      </c>
      <c r="C18" t="inlineStr">
        <is>
          <t>13%</t>
        </is>
      </c>
      <c r="D18">
        <f>SUM(B15:B17)</f>
        <v/>
      </c>
    </row>
    <row r="19">
      <c r="A19" t="inlineStr"/>
      <c r="B19" t="inlineStr"/>
      <c r="C19" t="inlineStr"/>
      <c r="D19" t="inlineStr"/>
    </row>
    <row r="20">
      <c r="A20" t="inlineStr">
        <is>
          <t>办公租金</t>
        </is>
      </c>
      <c r="B20" t="n">
        <v>1500000</v>
      </c>
      <c r="C20" t="inlineStr"/>
      <c r="D20" t="inlineStr">
        <is>
          <t>手动输入</t>
        </is>
      </c>
    </row>
    <row r="21">
      <c r="A21" t="inlineStr">
        <is>
          <t>员工工资</t>
        </is>
      </c>
      <c r="B21" t="n">
        <v>5000000</v>
      </c>
      <c r="C21" t="inlineStr"/>
      <c r="D21" t="inlineStr">
        <is>
          <t>手动输入</t>
        </is>
      </c>
    </row>
    <row r="22">
      <c r="A22" t="inlineStr">
        <is>
          <t>社保费用(14%)</t>
        </is>
      </c>
      <c r="B22" t="n">
        <v>700000</v>
      </c>
      <c r="C22" t="inlineStr"/>
      <c r="D22">
        <f>B21*14%</f>
        <v/>
      </c>
    </row>
    <row r="23">
      <c r="A23" t="inlineStr">
        <is>
          <t>运营成本小计</t>
        </is>
      </c>
      <c r="B23" t="n">
        <v>7200000</v>
      </c>
      <c r="C23" t="inlineStr">
        <is>
          <t>7.2%</t>
        </is>
      </c>
      <c r="D23">
        <f>SUM(B20:B22)</f>
        <v/>
      </c>
    </row>
    <row r="24">
      <c r="A24" t="inlineStr"/>
      <c r="B24" t="inlineStr"/>
      <c r="C24" t="inlineStr"/>
      <c r="D24" t="inlineStr"/>
    </row>
    <row r="25">
      <c r="A25" s="2" t="inlineStr">
        <is>
          <t>税前利润</t>
        </is>
      </c>
      <c r="B25" s="2" t="n">
        <v>4800000</v>
      </c>
      <c r="C25" s="2" t="inlineStr">
        <is>
          <t>4.8%</t>
        </is>
      </c>
      <c r="D25" s="2">
        <f>B8-B12-B18-B23</f>
        <v/>
      </c>
    </row>
    <row r="26">
      <c r="A26" t="inlineStr"/>
      <c r="B26" t="inlineStr"/>
      <c r="C26" t="inlineStr"/>
      <c r="D26" t="inlineStr"/>
    </row>
    <row r="27">
      <c r="A27" t="inlineStr">
        <is>
          <t>法人税(9.9%)</t>
        </is>
      </c>
      <c r="B27" t="n">
        <v>475200</v>
      </c>
      <c r="C27" t="inlineStr"/>
      <c r="D27">
        <f>IF(B25&lt;=200000000,B25*9.9%,200000000*9.9%+(B25-200000000)*19.8%)</f>
        <v/>
      </c>
    </row>
    <row r="28">
      <c r="A28" t="inlineStr">
        <is>
          <t>地方所得税(10%)</t>
        </is>
      </c>
      <c r="B28" t="n">
        <v>47520</v>
      </c>
      <c r="C28" t="inlineStr"/>
      <c r="D28">
        <f>B27*10%</f>
        <v/>
      </c>
    </row>
    <row r="29">
      <c r="A29" t="inlineStr">
        <is>
          <t>税费合计</t>
        </is>
      </c>
      <c r="B29" t="n">
        <v>522720</v>
      </c>
      <c r="C29" t="inlineStr"/>
      <c r="D29">
        <f>B27+B28</f>
        <v/>
      </c>
    </row>
    <row r="30">
      <c r="A30" t="inlineStr"/>
      <c r="B30" t="inlineStr"/>
      <c r="C30" t="inlineStr"/>
      <c r="D30" t="inlineStr"/>
    </row>
    <row r="31">
      <c r="A31" s="2" t="inlineStr">
        <is>
          <t>税后净利润</t>
        </is>
      </c>
      <c r="B31" s="2" t="n">
        <v>4277280</v>
      </c>
      <c r="C31" s="2" t="inlineStr">
        <is>
          <t>4.3%</t>
        </is>
      </c>
      <c r="D31" s="2">
        <f>B25-B29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2" customWidth="1" min="3" max="3"/>
  </cols>
  <sheetData>
    <row r="1">
      <c r="A1" t="inlineStr">
        <is>
          <t>法人税(企业所得税)计算表</t>
        </is>
      </c>
      <c r="B1" t="inlineStr"/>
      <c r="C1" t="inlineStr"/>
    </row>
    <row r="2">
      <c r="A2" t="inlineStr"/>
      <c r="B2" t="inlineStr"/>
      <c r="C2" t="inlineStr"/>
    </row>
    <row r="3">
      <c r="A3" s="1" t="inlineStr">
        <is>
          <t>应税所得区间</t>
        </is>
      </c>
      <c r="B3" s="1" t="inlineStr">
        <is>
          <t>税率</t>
        </is>
      </c>
      <c r="C3" s="1" t="inlineStr">
        <is>
          <t>计算公式</t>
        </is>
      </c>
    </row>
    <row r="4">
      <c r="A4" t="inlineStr">
        <is>
          <t>2亿韩元以下</t>
        </is>
      </c>
      <c r="B4" t="inlineStr">
        <is>
          <t>9.9%</t>
        </is>
      </c>
      <c r="C4" t="inlineStr">
        <is>
          <t>应税所得 × 9.9%</t>
        </is>
      </c>
    </row>
    <row r="5">
      <c r="A5" t="inlineStr">
        <is>
          <t>2亿 - 200亿韩元</t>
        </is>
      </c>
      <c r="B5" t="inlineStr">
        <is>
          <t>19.8%</t>
        </is>
      </c>
      <c r="C5" t="inlineStr">
        <is>
          <t>2亿×9.9% + (应税所得-2亿)×19.8%</t>
        </is>
      </c>
    </row>
    <row r="6">
      <c r="A6" t="inlineStr">
        <is>
          <t>200亿 - 3000亿韩元</t>
        </is>
      </c>
      <c r="B6" t="inlineStr">
        <is>
          <t>22%</t>
        </is>
      </c>
      <c r="C6" t="inlineStr">
        <is>
          <t>前200亿按上述 + (应税所得-200亿)×22%</t>
        </is>
      </c>
    </row>
    <row r="7">
      <c r="A7" t="inlineStr">
        <is>
          <t>超过3000亿韩元</t>
        </is>
      </c>
      <c r="B7" t="inlineStr">
        <is>
          <t>24.2%</t>
        </is>
      </c>
      <c r="C7" t="inlineStr">
        <is>
          <t>前3000亿按上述 + (应税所得-3000亿)×24.2%</t>
        </is>
      </c>
    </row>
    <row r="8">
      <c r="A8" t="inlineStr"/>
      <c r="B8" t="inlineStr"/>
      <c r="C8" t="inlineStr"/>
    </row>
    <row r="9">
      <c r="A9" t="inlineStr">
        <is>
          <t>地方所得税</t>
        </is>
      </c>
      <c r="B9" t="inlineStr">
        <is>
          <t>法人税 × 10%</t>
        </is>
      </c>
      <c r="C9" t="inlineStr"/>
    </row>
    <row r="10">
      <c r="A10" t="inlineStr"/>
      <c r="B10" t="inlineStr"/>
      <c r="C10" t="inlineStr"/>
    </row>
    <row r="11">
      <c r="A11" t="inlineStr">
        <is>
          <t>计算示例(年利润5亿韩元):</t>
        </is>
      </c>
      <c r="B11" t="inlineStr"/>
      <c r="C11" t="inlineStr"/>
    </row>
    <row r="12">
      <c r="A12" t="inlineStr">
        <is>
          <t>2亿 × 9.9%</t>
        </is>
      </c>
      <c r="B12" t="n">
        <v>19800000</v>
      </c>
      <c r="C12" t="inlineStr"/>
    </row>
    <row r="13">
      <c r="A13" t="inlineStr">
        <is>
          <t>3亿 × 19.8%</t>
        </is>
      </c>
      <c r="B13" t="n">
        <v>59400000</v>
      </c>
      <c r="C13" t="inlineStr"/>
    </row>
    <row r="14">
      <c r="A14" t="inlineStr">
        <is>
          <t>法人税合计</t>
        </is>
      </c>
      <c r="B14" t="n">
        <v>79200000</v>
      </c>
      <c r="C14" t="inlineStr"/>
    </row>
    <row r="15">
      <c r="A15" t="inlineStr">
        <is>
          <t>地方所得税(10%)</t>
        </is>
      </c>
      <c r="B15" t="n">
        <v>7920000</v>
      </c>
      <c r="C15" t="inlineStr"/>
    </row>
    <row r="16">
      <c r="A16" t="inlineStr">
        <is>
          <t>总税负</t>
        </is>
      </c>
      <c r="B16" t="n">
        <v>87120000</v>
      </c>
      <c r="C16" t="inlineStr">
        <is>
          <t>17.4%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</cols>
  <sheetData>
    <row r="1">
      <c r="A1" t="inlineStr">
        <is>
          <t>2026年税务申报日历</t>
        </is>
      </c>
      <c r="B1" t="inlineStr"/>
      <c r="C1" t="inlineStr"/>
    </row>
    <row r="2">
      <c r="A2" t="inlineStr"/>
      <c r="B2" t="inlineStr"/>
      <c r="C2" t="inlineStr"/>
    </row>
    <row r="3">
      <c r="A3" s="1" t="inlineStr">
        <is>
          <t>月份</t>
        </is>
      </c>
      <c r="B3" s="1" t="inlineStr">
        <is>
          <t>申报事项</t>
        </is>
      </c>
      <c r="C3" s="1" t="inlineStr">
        <is>
          <t>截止日期</t>
        </is>
      </c>
    </row>
    <row r="4">
      <c r="A4" t="inlineStr">
        <is>
          <t>1月</t>
        </is>
      </c>
      <c r="B4" t="inlineStr">
        <is>
          <t>第四季度VAT申报</t>
        </is>
      </c>
      <c r="C4" t="inlineStr">
        <is>
          <t>1月25日</t>
        </is>
      </c>
    </row>
    <row r="5">
      <c r="A5" t="inlineStr">
        <is>
          <t>2月</t>
        </is>
      </c>
      <c r="B5" t="inlineStr"/>
      <c r="C5" t="inlineStr"/>
    </row>
    <row r="6">
      <c r="A6" t="inlineStr">
        <is>
          <t>3月</t>
        </is>
      </c>
      <c r="B6" t="inlineStr"/>
      <c r="C6" t="inlineStr"/>
    </row>
    <row r="7">
      <c r="A7" t="inlineStr">
        <is>
          <t>4月</t>
        </is>
      </c>
      <c r="B7" t="inlineStr">
        <is>
          <t>第一季度VAT申报</t>
        </is>
      </c>
      <c r="C7" t="inlineStr">
        <is>
          <t>4月25日</t>
        </is>
      </c>
    </row>
    <row r="8">
      <c r="A8" t="inlineStr">
        <is>
          <t>5月</t>
        </is>
      </c>
      <c r="B8" t="inlineStr">
        <is>
          <t>法人税预缴(第1期)</t>
        </is>
      </c>
      <c r="C8" t="inlineStr">
        <is>
          <t>5月31日</t>
        </is>
      </c>
    </row>
    <row r="9">
      <c r="A9" t="inlineStr">
        <is>
          <t>6月</t>
        </is>
      </c>
      <c r="B9" t="inlineStr"/>
      <c r="C9" t="inlineStr"/>
    </row>
    <row r="10">
      <c r="A10" t="inlineStr">
        <is>
          <t>7月</t>
        </is>
      </c>
      <c r="B10" t="inlineStr">
        <is>
          <t>第二季度VAT申报</t>
        </is>
      </c>
      <c r="C10" t="inlineStr">
        <is>
          <t>7月25日</t>
        </is>
      </c>
    </row>
    <row r="11">
      <c r="A11" t="inlineStr">
        <is>
          <t>8月</t>
        </is>
      </c>
      <c r="B11" t="inlineStr">
        <is>
          <t>法人税预缴(第2期)</t>
        </is>
      </c>
      <c r="C11" t="inlineStr">
        <is>
          <t>8月31日</t>
        </is>
      </c>
    </row>
    <row r="12">
      <c r="A12" t="inlineStr">
        <is>
          <t>9月</t>
        </is>
      </c>
      <c r="B12" t="inlineStr"/>
      <c r="C12" t="inlineStr"/>
    </row>
    <row r="13">
      <c r="A13" t="inlineStr">
        <is>
          <t>10月</t>
        </is>
      </c>
      <c r="B13" t="inlineStr">
        <is>
          <t>第三季度VAT申报</t>
        </is>
      </c>
      <c r="C13" t="inlineStr">
        <is>
          <t>10月25日</t>
        </is>
      </c>
    </row>
    <row r="14">
      <c r="A14" t="inlineStr">
        <is>
          <t>11月</t>
        </is>
      </c>
      <c r="B14" t="inlineStr">
        <is>
          <t>法人税预缴(第3期)</t>
        </is>
      </c>
      <c r="C14" t="inlineStr">
        <is>
          <t>11月30日</t>
        </is>
      </c>
    </row>
    <row r="15">
      <c r="A15" t="inlineStr">
        <is>
          <t>12月</t>
        </is>
      </c>
      <c r="B15" t="inlineStr">
        <is>
          <t>第四季度VAT申报</t>
        </is>
      </c>
      <c r="C15" t="inlineStr">
        <is>
          <t>12月25日</t>
        </is>
      </c>
    </row>
    <row r="16">
      <c r="A16" t="inlineStr">
        <is>
          <t>次年3月</t>
        </is>
      </c>
      <c r="B16" t="inlineStr">
        <is>
          <t>年度法人税汇算清缴</t>
        </is>
      </c>
      <c r="C16" t="inlineStr">
        <is>
          <t>3月31日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2026-03-04T01:28:34Z</dcterms:created>
  <dcterms:modified xsi:type="dcterms:W3CDTF">2026-03-04T01:28:34Z</dcterms:modified>
</cp:coreProperties>
</file>